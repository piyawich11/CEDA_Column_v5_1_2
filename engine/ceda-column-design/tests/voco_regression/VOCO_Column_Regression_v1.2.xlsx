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" sheetId="1" state="visible" r:id="rId3"/>
    <sheet name="Method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<sst xmlns="http://schemas.openxmlformats.org/spreadsheetml/2006/main" count="235" uniqueCount="125">
  <si>
    <t xml:space="preserve">VOCO Bangkok Sukhumvit 11 – column skill v1.2 regression vs issued design (S-04-01-01 R3 / Excel calc files 03_xx)</t>
  </si>
  <si>
    <t xml:space="preserve">Same loads, section, f'c, Lu, k, βd as each Excel file (load sheet = envelope of all ETABS labels in that file). Shear not compared (no V in load sheets). Rev.1 (19 Oct 2026): less steel allowed below the f'c change; C1 B6-B5 Lu 2.75 m, k 1.0 (designer).</t>
  </si>
  <si>
    <t xml:space="preserve">Mark</t>
  </si>
  <si>
    <t xml:space="preserve">Band (Excel file)</t>
  </si>
  <si>
    <t xml:space="preserve">Section b×h (mm)</t>
  </si>
  <si>
    <t xml:space="preserve">f'c (ksc)</t>
  </si>
  <si>
    <t xml:space="preserve">Lu (m)</t>
  </si>
  <si>
    <t xml:space="preserve">k</t>
  </si>
  <si>
    <t xml:space="preserve">Excel "Using"</t>
  </si>
  <si>
    <t xml:space="preserve">Drawing S-04-01-01 R3</t>
  </si>
  <si>
    <t xml:space="preserve">As drawing (cm²)</t>
  </si>
  <si>
    <t xml:space="preserve">D/C drawing bars (engine)</t>
  </si>
  <si>
    <t xml:space="preserve">Engine v1.2 bars</t>
  </si>
  <si>
    <t xml:space="preserve">As engine (cm²)</t>
  </si>
  <si>
    <t xml:space="preserve">D/C engine</t>
  </si>
  <si>
    <t xml:space="preserve">ρ engine</t>
  </si>
  <si>
    <t xml:space="preserve">Status</t>
  </si>
  <si>
    <t xml:space="preserve">δ max</t>
  </si>
  <si>
    <t xml:space="preserve">ΔAs engine vs drawing</t>
  </si>
  <si>
    <t xml:space="preserve">Flag</t>
  </si>
  <si>
    <t xml:space="preserve">C1</t>
  </si>
  <si>
    <t xml:space="preserve">B6-B5</t>
  </si>
  <si>
    <t xml:space="preserve">450x2000</t>
  </si>
  <si>
    <t xml:space="preserve">66-DB32</t>
  </si>
  <si>
    <t xml:space="preserve">66-32</t>
  </si>
  <si>
    <t xml:space="preserve">62-DB32</t>
  </si>
  <si>
    <t xml:space="preserve">OK</t>
  </si>
  <si>
    <t xml:space="preserve">B4-B3</t>
  </si>
  <si>
    <t xml:space="preserve">42-DB32</t>
  </si>
  <si>
    <t xml:space="preserve">44-32 (eval 46)</t>
  </si>
  <si>
    <t xml:space="preserve">B2-B1</t>
  </si>
  <si>
    <t xml:space="preserve">22-DB32</t>
  </si>
  <si>
    <t xml:space="preserve">22-32</t>
  </si>
  <si>
    <t xml:space="preserve">30-DB32</t>
  </si>
  <si>
    <t xml:space="preserve">1st - 3th</t>
  </si>
  <si>
    <t xml:space="preserve">22-DB28</t>
  </si>
  <si>
    <t xml:space="preserve">22-28</t>
  </si>
  <si>
    <t xml:space="preserve">30-DB25</t>
  </si>
  <si>
    <t xml:space="preserve">4th-10th</t>
  </si>
  <si>
    <t xml:space="preserve">42-DB28</t>
  </si>
  <si>
    <t xml:space="preserve">44-28 (eval 46)</t>
  </si>
  <si>
    <t xml:space="preserve">30-DB28</t>
  </si>
  <si>
    <t xml:space="preserve">11th-20th</t>
  </si>
  <si>
    <t xml:space="preserve">22-DB25</t>
  </si>
  <si>
    <t xml:space="preserve">22-25</t>
  </si>
  <si>
    <t xml:space="preserve">30-DB20</t>
  </si>
  <si>
    <t xml:space="preserve">C2</t>
  </si>
  <si>
    <t xml:space="preserve">B6-B1</t>
  </si>
  <si>
    <t xml:space="preserve">1st-3th</t>
  </si>
  <si>
    <t xml:space="preserve">4th-14th</t>
  </si>
  <si>
    <t xml:space="preserve">C2s</t>
  </si>
  <si>
    <t xml:space="preserve">15th-20th</t>
  </si>
  <si>
    <t xml:space="preserve">450x1200</t>
  </si>
  <si>
    <t xml:space="preserve">24-DB25</t>
  </si>
  <si>
    <t xml:space="preserve">24-25 (eval 26)</t>
  </si>
  <si>
    <t xml:space="preserve">20-DB25</t>
  </si>
  <si>
    <t xml:space="preserve">C3</t>
  </si>
  <si>
    <t xml:space="preserve">C3L</t>
  </si>
  <si>
    <t xml:space="preserve">1st-3th_long column</t>
  </si>
  <si>
    <t xml:space="preserve">C4</t>
  </si>
  <si>
    <t xml:space="preserve">C4L</t>
  </si>
  <si>
    <t xml:space="preserve">1st - 3th_long</t>
  </si>
  <si>
    <t xml:space="preserve">550x2000</t>
  </si>
  <si>
    <t xml:space="preserve">44-32</t>
  </si>
  <si>
    <t xml:space="preserve">32-DB25</t>
  </si>
  <si>
    <t xml:space="preserve">C5L</t>
  </si>
  <si>
    <t xml:space="preserve">1st-3th_long</t>
  </si>
  <si>
    <t xml:space="preserve">450x1000</t>
  </si>
  <si>
    <t xml:space="preserve">16-DB28</t>
  </si>
  <si>
    <t xml:space="preserve">16-28</t>
  </si>
  <si>
    <t xml:space="preserve">16-DB20</t>
  </si>
  <si>
    <t xml:space="preserve">C5</t>
  </si>
  <si>
    <t xml:space="preserve">B6-3th</t>
  </si>
  <si>
    <t xml:space="preserve">C6</t>
  </si>
  <si>
    <t xml:space="preserve">350x2000</t>
  </si>
  <si>
    <t xml:space="preserve">60-DB28</t>
  </si>
  <si>
    <t xml:space="preserve">60-28</t>
  </si>
  <si>
    <t xml:space="preserve">50-DB32</t>
  </si>
  <si>
    <t xml:space="preserve">11th-16th</t>
  </si>
  <si>
    <t xml:space="preserve">20-28</t>
  </si>
  <si>
    <t xml:space="preserve">17th-20th</t>
  </si>
  <si>
    <t xml:space="preserve">—</t>
  </si>
  <si>
    <t xml:space="preserve">C7</t>
  </si>
  <si>
    <t xml:space="preserve">B6-1st</t>
  </si>
  <si>
    <t xml:space="preserve">450x450</t>
  </si>
  <si>
    <t xml:space="preserve">8-DB28</t>
  </si>
  <si>
    <t xml:space="preserve">8-28</t>
  </si>
  <si>
    <t xml:space="preserve">8-DB20</t>
  </si>
  <si>
    <t xml:space="preserve">C9</t>
  </si>
  <si>
    <t xml:space="preserve">16th-17th</t>
  </si>
  <si>
    <t xml:space="preserve">450x1800</t>
  </si>
  <si>
    <t xml:space="preserve">28-DB20</t>
  </si>
  <si>
    <t xml:space="preserve">C10</t>
  </si>
  <si>
    <t xml:space="preserve">20st</t>
  </si>
  <si>
    <t xml:space="preserve">16-DB32</t>
  </si>
  <si>
    <t xml:space="preserve">ASK_RHO</t>
  </si>
  <si>
    <t xml:space="preserve">C12</t>
  </si>
  <si>
    <t xml:space="preserve">300x800</t>
  </si>
  <si>
    <t xml:space="preserve">20-DB28</t>
  </si>
  <si>
    <t xml:space="preserve">14-DB28</t>
  </si>
  <si>
    <t xml:space="preserve">10th-22th</t>
  </si>
  <si>
    <t xml:space="preserve">12-DB25</t>
  </si>
  <si>
    <t xml:space="preserve">12-28</t>
  </si>
  <si>
    <t xml:space="preserve">14-DB20</t>
  </si>
  <si>
    <t xml:space="preserve">C12L</t>
  </si>
  <si>
    <t xml:space="preserve">10th-20th_long</t>
  </si>
  <si>
    <t xml:space="preserve">Summary</t>
  </si>
  <si>
    <t xml:space="preserve">Bands compared (with drawing bars)</t>
  </si>
  <si>
    <t xml:space="preserve">Drawing bars D/C &gt; 1 by engine</t>
  </si>
  <si>
    <t xml:space="preserve">Engine status not OK</t>
  </si>
  <si>
    <t xml:space="preserve">Σ As drawing (cm², bands on drawing)</t>
  </si>
  <si>
    <t xml:space="preserve">Σ As engine (same bands)</t>
  </si>
  <si>
    <t xml:space="preserve">Σ ΔAs engine vs drawing</t>
  </si>
  <si>
    <t xml:space="preserve">Method</t>
  </si>
  <si>
    <t xml:space="preserve">1. Inputs taken from each issued Excel calc (03_xx_..xlsx): Report (B, H, f'c, Lx, kx, βd, "Using" bars) and load sheet (P, M3, M2 per row). Each file = one mark-band; all ETABS labels in the file enveloped as one label.</t>
  </si>
  <si>
    <t xml:space="preserve">2. Engine = ceda-column-design v1.2 scripts (run.py, story_ranges mode "each", fc_by_story fixed, Lu/k per file). Bands of one mark run together so the bottom-up / monotonic rule applies.</t>
  </si>
  <si>
    <t xml:space="preserve">3. "D/C drawing bars" = engine 3D-surface D/C of the bars on the drawing, placed on the drawn grid (2000×450: 22 positions, 1000×450: 16, 450×450: 8, 2000×350: 20, 800×300: 12, 1200×450: 12) with symmetric tie-corner bundles. Where the count cannot be placed exactly the next symmetric count is used ("eval n").</t>
  </si>
  <si>
    <t xml:space="preserve">4. Engine grid follows the v1.2 rule (c/c 125–150 → 2000 face 14 bars, 30 positions) – so bar counts differ from the drawing by design; compare As and D/C, not the count.</t>
  </si>
  <si>
    <t xml:space="preserve">Assumptions / limits</t>
  </si>
  <si>
    <t xml:space="preserve">A1. Lu and k as in the Excel files (Lu 4.5 m, k 0.9) except C1 B6-B5: Lu 2.75 m, k 1.0 (designer, 19 Oct 2026). Other basement bands stay 4.5 m.</t>
  </si>
  <si>
    <t xml:space="preserve">A2. Shear, ties and laps not compared (load sheets carry no V).</t>
  </si>
  <si>
    <t xml:space="preserve">A3. C8 (L-shape) and C11 (bent wall) not covered by the engine – skipped.</t>
  </si>
  <si>
    <t xml:space="preserve">A4. C4 1st–3th "_long" Excel uses B = 55 cm while the drawing shows 450 – run as in Excel; check which is correct.</t>
  </si>
  <si>
    <t xml:space="preserve">A5. C6 17th–20th, C10, C12 bands are not all shown on the drawing – compared only where shown.</t>
  </si>
  <si>
    <t xml:space="preserve">A6. Rule change (designer, 19 Oct 2026): at the f'c reduction the lower story may carry less steel than the story above (C1 1st–3th 30-DB25 below 30-DB28).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</si>
</sst>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\+0%;\-0%;0%"/>
    <numFmt numFmtId="167" formatCode="\+0%;\-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6" min="6" style="1" width="5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4" min="13" style="1" width="8"/>
    <col collapsed="false" customWidth="true" hidden="false" outlineLevel="0" max="15" min="15" style="1" width="9"/>
    <col collapsed="false" customWidth="true" hidden="false" outlineLevel="0" max="16" min="16" style="1" width="7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42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5" hidden="false" customHeight="true" outlineLevel="0" collapsed="false">
      <c r="A4" s="3" t="s">
        <v>20</v>
      </c>
      <c r="B4" s="3" t="s">
        <v>21</v>
      </c>
      <c r="C4" s="3" t="s">
        <v>22</v>
      </c>
      <c r="D4" s="3" t="n">
        <v>560</v>
      </c>
      <c r="E4" s="3" t="n">
        <v>2.75</v>
      </c>
      <c r="F4" s="3" t="n">
        <v>1</v>
      </c>
      <c r="G4" s="3" t="s">
        <v>23</v>
      </c>
      <c r="H4" s="3" t="s">
        <v>24</v>
      </c>
      <c r="I4" s="3" t="n">
        <v>530.8</v>
      </c>
      <c r="J4" s="3" t="n">
        <v>0.976</v>
      </c>
      <c r="K4" s="3" t="s">
        <v>25</v>
      </c>
      <c r="L4" s="3" t="n">
        <v>498.63</v>
      </c>
      <c r="M4" s="3" t="n">
        <v>0.998</v>
      </c>
      <c r="N4" s="5" t="n">
        <v>0.0554</v>
      </c>
      <c r="O4" s="3" t="s">
        <v>26</v>
      </c>
      <c r="P4" s="3" t="n">
        <v>1</v>
      </c>
      <c r="Q4" s="6" t="n">
        <f aca="false">IF(I4="","",L4/I4-1)</f>
        <v>-0.0606066314996231</v>
      </c>
      <c r="R4" s="3" t="str">
        <f aca="false">IF(I4="","not on drawing",IF(J4&gt;1,"drawing bars D/C&gt;1 – review",IF(O4&lt;&gt;"OK","engine "&amp;O4,IF(ABS(Q4)&gt;0.3,"ΔAs &gt; 30 %",""))))</f>
        <v/>
      </c>
    </row>
    <row r="5" customFormat="false" ht="15" hidden="false" customHeight="true" outlineLevel="0" collapsed="false">
      <c r="A5" s="3" t="s">
        <v>20</v>
      </c>
      <c r="B5" s="3" t="s">
        <v>27</v>
      </c>
      <c r="C5" s="3" t="s">
        <v>22</v>
      </c>
      <c r="D5" s="3" t="n">
        <v>560</v>
      </c>
      <c r="E5" s="3" t="n">
        <v>4.5</v>
      </c>
      <c r="F5" s="3" t="n">
        <v>0.9</v>
      </c>
      <c r="G5" s="3" t="s">
        <v>28</v>
      </c>
      <c r="H5" s="3" t="s">
        <v>29</v>
      </c>
      <c r="I5" s="3" t="n">
        <v>353.87</v>
      </c>
      <c r="J5" s="3" t="n">
        <v>0.942</v>
      </c>
      <c r="K5" s="3" t="s">
        <v>28</v>
      </c>
      <c r="L5" s="3" t="n">
        <v>337.78</v>
      </c>
      <c r="M5" s="3" t="n">
        <v>0.967</v>
      </c>
      <c r="N5" s="5" t="n">
        <v>0.0375</v>
      </c>
      <c r="O5" s="3" t="s">
        <v>26</v>
      </c>
      <c r="P5" s="3" t="n">
        <v>1.93</v>
      </c>
      <c r="Q5" s="6" t="n">
        <f aca="false">IF(I5="","",L5/I5-1)</f>
        <v>-0.0454686749371239</v>
      </c>
      <c r="R5" s="3" t="str">
        <f aca="false">IF(I5="","not on drawing",IF(J5&gt;1,"drawing bars D/C&gt;1 – review",IF(O5&lt;&gt;"OK","engine "&amp;O5,IF(ABS(Q5)&gt;0.3,"ΔAs &gt; 30 %",""))))</f>
        <v/>
      </c>
    </row>
    <row r="6" customFormat="false" ht="15" hidden="false" customHeight="true" outlineLevel="0" collapsed="false">
      <c r="A6" s="3" t="s">
        <v>20</v>
      </c>
      <c r="B6" s="3" t="s">
        <v>30</v>
      </c>
      <c r="C6" s="3" t="s">
        <v>22</v>
      </c>
      <c r="D6" s="3" t="n">
        <v>560</v>
      </c>
      <c r="E6" s="3" t="n">
        <v>4.5</v>
      </c>
      <c r="F6" s="3" t="n">
        <v>0.9</v>
      </c>
      <c r="G6" s="3" t="s">
        <v>31</v>
      </c>
      <c r="H6" s="3" t="s">
        <v>32</v>
      </c>
      <c r="I6" s="3" t="n">
        <v>176.93</v>
      </c>
      <c r="J6" s="3" t="n">
        <v>1.142</v>
      </c>
      <c r="K6" s="3" t="s">
        <v>33</v>
      </c>
      <c r="L6" s="3" t="n">
        <v>241.27</v>
      </c>
      <c r="M6" s="3" t="n">
        <v>0.998</v>
      </c>
      <c r="N6" s="5" t="n">
        <v>0.0268</v>
      </c>
      <c r="O6" s="3" t="s">
        <v>26</v>
      </c>
      <c r="P6" s="3" t="n">
        <v>2.07</v>
      </c>
      <c r="Q6" s="6" t="n">
        <f aca="false">IF(I6="","",L6/I6-1)</f>
        <v>0.36364663991409</v>
      </c>
      <c r="R6" s="3" t="str">
        <f aca="false">IF(I6="","not on drawing",IF(J6&gt;1,"drawing bars D/C&gt;1 – review",IF(O6&lt;&gt;"OK","engine "&amp;O6,IF(ABS(Q6)&gt;0.3,"ΔAs &gt; 30 %",""))))</f>
        <v>drawing bars D/C&gt;1 – review</v>
      </c>
    </row>
    <row r="7" customFormat="false" ht="15" hidden="false" customHeight="true" outlineLevel="0" collapsed="false">
      <c r="A7" s="3" t="s">
        <v>20</v>
      </c>
      <c r="B7" s="3" t="s">
        <v>34</v>
      </c>
      <c r="C7" s="3" t="s">
        <v>22</v>
      </c>
      <c r="D7" s="3" t="n">
        <v>560</v>
      </c>
      <c r="E7" s="3" t="n">
        <v>4.5</v>
      </c>
      <c r="F7" s="3" t="n">
        <v>0.9</v>
      </c>
      <c r="G7" s="3" t="s">
        <v>35</v>
      </c>
      <c r="H7" s="3" t="s">
        <v>36</v>
      </c>
      <c r="I7" s="3" t="n">
        <v>135.47</v>
      </c>
      <c r="J7" s="3" t="n">
        <v>0.977</v>
      </c>
      <c r="K7" s="3" t="s">
        <v>37</v>
      </c>
      <c r="L7" s="3" t="n">
        <v>147.26</v>
      </c>
      <c r="M7" s="3" t="n">
        <v>0.942</v>
      </c>
      <c r="N7" s="5" t="n">
        <v>0.0164</v>
      </c>
      <c r="O7" s="3" t="s">
        <v>26</v>
      </c>
      <c r="P7" s="3" t="n">
        <v>2.18</v>
      </c>
      <c r="Q7" s="6" t="n">
        <f aca="false">IF(I7="","",L7/I7-1)</f>
        <v>0.087030338820403</v>
      </c>
      <c r="R7" s="3" t="str">
        <f aca="false">IF(I7="","not on drawing",IF(J7&gt;1,"drawing bars D/C&gt;1 – review",IF(O7&lt;&gt;"OK","engine "&amp;O7,IF(ABS(Q7)&gt;0.3,"ΔAs &gt; 30 %",""))))</f>
        <v/>
      </c>
    </row>
    <row r="8" customFormat="false" ht="15" hidden="false" customHeight="true" outlineLevel="0" collapsed="false">
      <c r="A8" s="3" t="s">
        <v>20</v>
      </c>
      <c r="B8" s="3" t="s">
        <v>38</v>
      </c>
      <c r="C8" s="3" t="s">
        <v>22</v>
      </c>
      <c r="D8" s="3" t="n">
        <v>400</v>
      </c>
      <c r="E8" s="3" t="n">
        <v>4.5</v>
      </c>
      <c r="F8" s="3" t="n">
        <v>0.9</v>
      </c>
      <c r="G8" s="3" t="s">
        <v>39</v>
      </c>
      <c r="H8" s="3" t="s">
        <v>40</v>
      </c>
      <c r="I8" s="3" t="n">
        <v>270.93</v>
      </c>
      <c r="J8" s="3" t="n">
        <v>0.858</v>
      </c>
      <c r="K8" s="3" t="s">
        <v>41</v>
      </c>
      <c r="L8" s="3" t="n">
        <v>184.73</v>
      </c>
      <c r="M8" s="3" t="n">
        <v>0.969</v>
      </c>
      <c r="N8" s="5" t="n">
        <v>0.0205</v>
      </c>
      <c r="O8" s="3" t="s">
        <v>26</v>
      </c>
      <c r="P8" s="3" t="n">
        <v>1.86</v>
      </c>
      <c r="Q8" s="6" t="n">
        <f aca="false">IF(I8="","",L8/I8-1)</f>
        <v>-0.318163363230355</v>
      </c>
      <c r="R8" s="3" t="str">
        <f aca="false">IF(I8="","not on drawing",IF(J8&gt;1,"drawing bars D/C&gt;1 – review",IF(O8&lt;&gt;"OK","engine "&amp;O8,IF(ABS(Q8)&gt;0.3,"ΔAs &gt; 30 %",""))))</f>
        <v>ΔAs &gt; 30 %</v>
      </c>
    </row>
    <row r="9" customFormat="false" ht="15" hidden="false" customHeight="true" outlineLevel="0" collapsed="false">
      <c r="A9" s="3" t="s">
        <v>20</v>
      </c>
      <c r="B9" s="3" t="s">
        <v>42</v>
      </c>
      <c r="C9" s="3" t="s">
        <v>22</v>
      </c>
      <c r="D9" s="3" t="n">
        <v>400</v>
      </c>
      <c r="E9" s="3" t="n">
        <v>4.5</v>
      </c>
      <c r="F9" s="3" t="n">
        <v>0.9</v>
      </c>
      <c r="G9" s="3" t="s">
        <v>43</v>
      </c>
      <c r="H9" s="3" t="s">
        <v>44</v>
      </c>
      <c r="I9" s="3" t="n">
        <v>107.99</v>
      </c>
      <c r="J9" s="3" t="n">
        <v>0.782</v>
      </c>
      <c r="K9" s="3" t="s">
        <v>45</v>
      </c>
      <c r="L9" s="3" t="n">
        <v>94.25</v>
      </c>
      <c r="M9" s="3" t="n">
        <v>0.823</v>
      </c>
      <c r="N9" s="5" t="n">
        <v>0.0105</v>
      </c>
      <c r="O9" s="3" t="s">
        <v>26</v>
      </c>
      <c r="P9" s="3" t="n">
        <v>1.59</v>
      </c>
      <c r="Q9" s="6" t="n">
        <f aca="false">IF(I9="","",L9/I9-1)</f>
        <v>-0.12723400314844</v>
      </c>
      <c r="R9" s="3" t="str">
        <f aca="false">IF(I9="","not on drawing",IF(J9&gt;1,"drawing bars D/C&gt;1 – review",IF(O9&lt;&gt;"OK","engine "&amp;O9,IF(ABS(Q9)&gt;0.3,"ΔAs &gt; 30 %",""))))</f>
        <v/>
      </c>
    </row>
    <row r="10" customFormat="false" ht="15" hidden="false" customHeight="true" outlineLevel="0" collapsed="false">
      <c r="A10" s="3" t="s">
        <v>46</v>
      </c>
      <c r="B10" s="3" t="s">
        <v>47</v>
      </c>
      <c r="C10" s="3" t="s">
        <v>22</v>
      </c>
      <c r="D10" s="3" t="n">
        <v>560</v>
      </c>
      <c r="E10" s="3" t="n">
        <v>4.5</v>
      </c>
      <c r="F10" s="3" t="n">
        <v>0.9</v>
      </c>
      <c r="G10" s="3" t="s">
        <v>39</v>
      </c>
      <c r="H10" s="3" t="s">
        <v>40</v>
      </c>
      <c r="I10" s="3" t="n">
        <v>270.93</v>
      </c>
      <c r="J10" s="3" t="n">
        <v>0.846</v>
      </c>
      <c r="K10" s="3" t="s">
        <v>41</v>
      </c>
      <c r="L10" s="3" t="n">
        <v>184.73</v>
      </c>
      <c r="M10" s="3" t="n">
        <v>0.957</v>
      </c>
      <c r="N10" s="5" t="n">
        <v>0.0205</v>
      </c>
      <c r="O10" s="3" t="s">
        <v>26</v>
      </c>
      <c r="P10" s="3" t="n">
        <v>2.11</v>
      </c>
      <c r="Q10" s="6" t="n">
        <f aca="false">IF(I10="","",L10/I10-1)</f>
        <v>-0.318163363230355</v>
      </c>
      <c r="R10" s="3" t="str">
        <f aca="false">IF(I10="","not on drawing",IF(J10&gt;1,"drawing bars D/C&gt;1 – review",IF(O10&lt;&gt;"OK","engine "&amp;O10,IF(ABS(Q10)&gt;0.3,"ΔAs &gt; 30 %",""))))</f>
        <v>ΔAs &gt; 30 %</v>
      </c>
    </row>
    <row r="11" customFormat="false" ht="15" hidden="false" customHeight="true" outlineLevel="0" collapsed="false">
      <c r="A11" s="3" t="s">
        <v>46</v>
      </c>
      <c r="B11" s="3" t="s">
        <v>48</v>
      </c>
      <c r="C11" s="3" t="s">
        <v>22</v>
      </c>
      <c r="D11" s="3" t="n">
        <v>560</v>
      </c>
      <c r="E11" s="3" t="n">
        <v>4.5</v>
      </c>
      <c r="F11" s="3" t="n">
        <v>0.9</v>
      </c>
      <c r="G11" s="3" t="s">
        <v>35</v>
      </c>
      <c r="H11" s="3" t="s">
        <v>36</v>
      </c>
      <c r="I11" s="3" t="n">
        <v>135.47</v>
      </c>
      <c r="J11" s="3" t="n">
        <v>0.554</v>
      </c>
      <c r="K11" s="3" t="s">
        <v>45</v>
      </c>
      <c r="L11" s="3" t="n">
        <v>94.25</v>
      </c>
      <c r="M11" s="3" t="n">
        <v>0.582</v>
      </c>
      <c r="N11" s="5" t="n">
        <v>0.0105</v>
      </c>
      <c r="O11" s="3" t="s">
        <v>26</v>
      </c>
      <c r="P11" s="3" t="n">
        <v>1.65</v>
      </c>
      <c r="Q11" s="6" t="n">
        <f aca="false">IF(I11="","",L11/I11-1)</f>
        <v>-0.304274009005684</v>
      </c>
      <c r="R11" s="3" t="str">
        <f aca="false">IF(I11="","not on drawing",IF(J11&gt;1,"drawing bars D/C&gt;1 – review",IF(O11&lt;&gt;"OK","engine "&amp;O11,IF(ABS(Q11)&gt;0.3,"ΔAs &gt; 30 %",""))))</f>
        <v>ΔAs &gt; 30 %</v>
      </c>
    </row>
    <row r="12" customFormat="false" ht="15" hidden="false" customHeight="true" outlineLevel="0" collapsed="false">
      <c r="A12" s="3" t="s">
        <v>46</v>
      </c>
      <c r="B12" s="3" t="s">
        <v>49</v>
      </c>
      <c r="C12" s="3" t="s">
        <v>22</v>
      </c>
      <c r="D12" s="3" t="n">
        <v>400</v>
      </c>
      <c r="E12" s="3" t="n">
        <v>4.5</v>
      </c>
      <c r="F12" s="3" t="n">
        <v>0.9</v>
      </c>
      <c r="G12" s="3" t="s">
        <v>43</v>
      </c>
      <c r="H12" s="3" t="s">
        <v>44</v>
      </c>
      <c r="I12" s="3" t="n">
        <v>107.99</v>
      </c>
      <c r="J12" s="3" t="n">
        <v>0.541</v>
      </c>
      <c r="K12" s="3" t="s">
        <v>45</v>
      </c>
      <c r="L12" s="3" t="n">
        <v>94.25</v>
      </c>
      <c r="M12" s="3" t="n">
        <v>0.549</v>
      </c>
      <c r="N12" s="5" t="n">
        <v>0.0105</v>
      </c>
      <c r="O12" s="3" t="s">
        <v>26</v>
      </c>
      <c r="P12" s="3" t="n">
        <v>1.46</v>
      </c>
      <c r="Q12" s="6" t="n">
        <f aca="false">IF(I12="","",L12/I12-1)</f>
        <v>-0.12723400314844</v>
      </c>
      <c r="R12" s="3" t="str">
        <f aca="false">IF(I12="","not on drawing",IF(J12&gt;1,"drawing bars D/C&gt;1 – review",IF(O12&lt;&gt;"OK","engine "&amp;O12,IF(ABS(Q12)&gt;0.3,"ΔAs &gt; 30 %",""))))</f>
        <v/>
      </c>
    </row>
    <row r="13" customFormat="false" ht="15" hidden="false" customHeight="true" outlineLevel="0" collapsed="false">
      <c r="A13" s="3" t="s">
        <v>50</v>
      </c>
      <c r="B13" s="3" t="s">
        <v>51</v>
      </c>
      <c r="C13" s="3" t="s">
        <v>52</v>
      </c>
      <c r="D13" s="3" t="n">
        <v>400</v>
      </c>
      <c r="E13" s="3" t="n">
        <v>4.5</v>
      </c>
      <c r="F13" s="3" t="n">
        <v>0.9</v>
      </c>
      <c r="G13" s="3" t="s">
        <v>53</v>
      </c>
      <c r="H13" s="3" t="s">
        <v>54</v>
      </c>
      <c r="I13" s="3" t="n">
        <v>117.81</v>
      </c>
      <c r="J13" s="3" t="n">
        <v>0.756</v>
      </c>
      <c r="K13" s="3" t="s">
        <v>55</v>
      </c>
      <c r="L13" s="3" t="n">
        <v>98.17</v>
      </c>
      <c r="M13" s="3" t="n">
        <v>0.91</v>
      </c>
      <c r="N13" s="5" t="n">
        <v>0.0182</v>
      </c>
      <c r="O13" s="3" t="s">
        <v>26</v>
      </c>
      <c r="P13" s="3" t="n">
        <v>1.22</v>
      </c>
      <c r="Q13" s="6" t="n">
        <f aca="false">IF(I13="","",L13/I13-1)</f>
        <v>-0.166709107885578</v>
      </c>
      <c r="R13" s="3" t="str">
        <f aca="false">IF(I13="","not on drawing",IF(J13&gt;1,"drawing bars D/C&gt;1 – review",IF(O13&lt;&gt;"OK","engine "&amp;O13,IF(ABS(Q13)&gt;0.3,"ΔAs &gt; 30 %",""))))</f>
        <v/>
      </c>
    </row>
    <row r="14" customFormat="false" ht="15" hidden="false" customHeight="true" outlineLevel="0" collapsed="false">
      <c r="A14" s="3" t="s">
        <v>56</v>
      </c>
      <c r="B14" s="3" t="s">
        <v>47</v>
      </c>
      <c r="C14" s="3" t="s">
        <v>22</v>
      </c>
      <c r="D14" s="3" t="n">
        <v>560</v>
      </c>
      <c r="E14" s="3" t="n">
        <v>4.5</v>
      </c>
      <c r="F14" s="3" t="n">
        <v>0.9</v>
      </c>
      <c r="G14" s="3" t="s">
        <v>39</v>
      </c>
      <c r="H14" s="3" t="s">
        <v>40</v>
      </c>
      <c r="I14" s="3" t="n">
        <v>270.93</v>
      </c>
      <c r="J14" s="3" t="n">
        <v>0.846</v>
      </c>
      <c r="K14" s="3" t="s">
        <v>41</v>
      </c>
      <c r="L14" s="3" t="n">
        <v>184.73</v>
      </c>
      <c r="M14" s="3" t="n">
        <v>0.957</v>
      </c>
      <c r="N14" s="5" t="n">
        <v>0.0205</v>
      </c>
      <c r="O14" s="3" t="s">
        <v>26</v>
      </c>
      <c r="P14" s="3" t="n">
        <v>2.11</v>
      </c>
      <c r="Q14" s="6" t="n">
        <f aca="false">IF(I14="","",L14/I14-1)</f>
        <v>-0.318163363230355</v>
      </c>
      <c r="R14" s="3" t="str">
        <f aca="false">IF(I14="","not on drawing",IF(J14&gt;1,"drawing bars D/C&gt;1 – review",IF(O14&lt;&gt;"OK","engine "&amp;O14,IF(ABS(Q14)&gt;0.3,"ΔAs &gt; 30 %",""))))</f>
        <v>ΔAs &gt; 30 %</v>
      </c>
    </row>
    <row r="15" customFormat="false" ht="15" hidden="false" customHeight="true" outlineLevel="0" collapsed="false">
      <c r="A15" s="3" t="s">
        <v>56</v>
      </c>
      <c r="B15" s="3" t="s">
        <v>48</v>
      </c>
      <c r="C15" s="3" t="s">
        <v>22</v>
      </c>
      <c r="D15" s="3" t="n">
        <v>560</v>
      </c>
      <c r="E15" s="3" t="n">
        <v>4.5</v>
      </c>
      <c r="F15" s="3" t="n">
        <v>0.9</v>
      </c>
      <c r="G15" s="3" t="s">
        <v>39</v>
      </c>
      <c r="H15" s="3" t="s">
        <v>40</v>
      </c>
      <c r="I15" s="3" t="n">
        <v>270.93</v>
      </c>
      <c r="J15" s="3" t="n">
        <v>0.638</v>
      </c>
      <c r="K15" s="3" t="s">
        <v>45</v>
      </c>
      <c r="L15" s="3" t="n">
        <v>94.25</v>
      </c>
      <c r="M15" s="3" t="n">
        <v>0.937</v>
      </c>
      <c r="N15" s="5" t="n">
        <v>0.0105</v>
      </c>
      <c r="O15" s="3" t="s">
        <v>26</v>
      </c>
      <c r="P15" s="3" t="n">
        <v>1.92</v>
      </c>
      <c r="Q15" s="6" t="n">
        <f aca="false">IF(I15="","",L15/I15-1)</f>
        <v>-0.652124164913446</v>
      </c>
      <c r="R15" s="3" t="str">
        <f aca="false">IF(I15="","not on drawing",IF(J15&gt;1,"drawing bars D/C&gt;1 – review",IF(O15&lt;&gt;"OK","engine "&amp;O15,IF(ABS(Q15)&gt;0.3,"ΔAs &gt; 30 %",""))))</f>
        <v>ΔAs &gt; 30 %</v>
      </c>
    </row>
    <row r="16" customFormat="false" ht="15" hidden="false" customHeight="true" outlineLevel="0" collapsed="false">
      <c r="A16" s="3" t="s">
        <v>57</v>
      </c>
      <c r="B16" s="3" t="s">
        <v>58</v>
      </c>
      <c r="C16" s="3" t="s">
        <v>22</v>
      </c>
      <c r="D16" s="3" t="n">
        <v>560</v>
      </c>
      <c r="E16" s="3" t="n">
        <v>8</v>
      </c>
      <c r="F16" s="3" t="n">
        <v>0.9</v>
      </c>
      <c r="G16" s="3" t="s">
        <v>39</v>
      </c>
      <c r="H16" s="3" t="s">
        <v>40</v>
      </c>
      <c r="I16" s="3" t="n">
        <v>270.93</v>
      </c>
      <c r="J16" s="3" t="n">
        <v>0.218</v>
      </c>
      <c r="K16" s="3" t="s">
        <v>45</v>
      </c>
      <c r="L16" s="3" t="n">
        <v>94.25</v>
      </c>
      <c r="M16" s="3" t="n">
        <v>0.283</v>
      </c>
      <c r="N16" s="5" t="n">
        <v>0.0105</v>
      </c>
      <c r="O16" s="3" t="s">
        <v>26</v>
      </c>
      <c r="P16" s="3" t="n">
        <v>1.88</v>
      </c>
      <c r="Q16" s="6" t="n">
        <f aca="false">IF(I16="","",L16/I16-1)</f>
        <v>-0.652124164913446</v>
      </c>
      <c r="R16" s="3" t="str">
        <f aca="false">IF(I16="","not on drawing",IF(J16&gt;1,"drawing bars D/C&gt;1 – review",IF(O16&lt;&gt;"OK","engine "&amp;O16,IF(ABS(Q16)&gt;0.3,"ΔAs &gt; 30 %",""))))</f>
        <v>ΔAs &gt; 30 %</v>
      </c>
    </row>
    <row r="17" customFormat="false" ht="15" hidden="false" customHeight="true" outlineLevel="0" collapsed="false">
      <c r="A17" s="3" t="s">
        <v>59</v>
      </c>
      <c r="B17" s="3" t="s">
        <v>47</v>
      </c>
      <c r="C17" s="3" t="s">
        <v>22</v>
      </c>
      <c r="D17" s="3" t="n">
        <v>560</v>
      </c>
      <c r="E17" s="3" t="n">
        <v>4.5</v>
      </c>
      <c r="F17" s="3" t="n">
        <v>0.9</v>
      </c>
      <c r="G17" s="3" t="s">
        <v>28</v>
      </c>
      <c r="H17" s="3" t="s">
        <v>29</v>
      </c>
      <c r="I17" s="3" t="n">
        <v>353.87</v>
      </c>
      <c r="J17" s="3" t="n">
        <v>0.953</v>
      </c>
      <c r="K17" s="3" t="s">
        <v>28</v>
      </c>
      <c r="L17" s="3" t="n">
        <v>337.78</v>
      </c>
      <c r="M17" s="3" t="n">
        <v>0.979</v>
      </c>
      <c r="N17" s="5" t="n">
        <v>0.0375</v>
      </c>
      <c r="O17" s="3" t="s">
        <v>26</v>
      </c>
      <c r="P17" s="3" t="n">
        <v>1.95</v>
      </c>
      <c r="Q17" s="6" t="n">
        <f aca="false">IF(I17="","",L17/I17-1)</f>
        <v>-0.0454686749371239</v>
      </c>
      <c r="R17" s="3" t="str">
        <f aca="false">IF(I17="","not on drawing",IF(J17&gt;1,"drawing bars D/C&gt;1 – review",IF(O17&lt;&gt;"OK","engine "&amp;O17,IF(ABS(Q17)&gt;0.3,"ΔAs &gt; 30 %",""))))</f>
        <v/>
      </c>
    </row>
    <row r="18" customFormat="false" ht="15" hidden="false" customHeight="true" outlineLevel="0" collapsed="false">
      <c r="A18" s="3" t="s">
        <v>59</v>
      </c>
      <c r="B18" s="3" t="s">
        <v>38</v>
      </c>
      <c r="C18" s="3" t="s">
        <v>22</v>
      </c>
      <c r="D18" s="3" t="n">
        <v>400</v>
      </c>
      <c r="E18" s="3" t="n">
        <v>4.5</v>
      </c>
      <c r="F18" s="3" t="n">
        <v>0.9</v>
      </c>
      <c r="G18" s="3" t="s">
        <v>39</v>
      </c>
      <c r="H18" s="3" t="s">
        <v>40</v>
      </c>
      <c r="I18" s="3" t="n">
        <v>270.93</v>
      </c>
      <c r="J18" s="3" t="n">
        <v>0.748</v>
      </c>
      <c r="K18" s="3" t="s">
        <v>37</v>
      </c>
      <c r="L18" s="3" t="n">
        <v>147.26</v>
      </c>
      <c r="M18" s="3" t="n">
        <v>0.931</v>
      </c>
      <c r="N18" s="5" t="n">
        <v>0.0164</v>
      </c>
      <c r="O18" s="3" t="s">
        <v>26</v>
      </c>
      <c r="P18" s="3" t="n">
        <v>1.57</v>
      </c>
      <c r="Q18" s="6" t="n">
        <f aca="false">IF(I18="","",L18/I18-1)</f>
        <v>-0.456464769497656</v>
      </c>
      <c r="R18" s="3" t="str">
        <f aca="false">IF(I18="","not on drawing",IF(J18&gt;1,"drawing bars D/C&gt;1 – review",IF(O18&lt;&gt;"OK","engine "&amp;O18,IF(ABS(Q18)&gt;0.3,"ΔAs &gt; 30 %",""))))</f>
        <v>ΔAs &gt; 30 %</v>
      </c>
    </row>
    <row r="19" customFormat="false" ht="15" hidden="false" customHeight="true" outlineLevel="0" collapsed="false">
      <c r="A19" s="3" t="s">
        <v>59</v>
      </c>
      <c r="B19" s="3" t="s">
        <v>42</v>
      </c>
      <c r="C19" s="3" t="s">
        <v>22</v>
      </c>
      <c r="D19" s="3" t="n">
        <v>400</v>
      </c>
      <c r="E19" s="3" t="n">
        <v>4.5</v>
      </c>
      <c r="F19" s="3" t="n">
        <v>0.9</v>
      </c>
      <c r="G19" s="3" t="s">
        <v>43</v>
      </c>
      <c r="H19" s="3" t="s">
        <v>44</v>
      </c>
      <c r="I19" s="3" t="n">
        <v>107.99</v>
      </c>
      <c r="J19" s="3" t="n">
        <v>0.354</v>
      </c>
      <c r="K19" s="3" t="s">
        <v>45</v>
      </c>
      <c r="L19" s="3" t="n">
        <v>94.25</v>
      </c>
      <c r="M19" s="3" t="n">
        <v>0.36</v>
      </c>
      <c r="N19" s="5" t="n">
        <v>0.0105</v>
      </c>
      <c r="O19" s="3" t="s">
        <v>26</v>
      </c>
      <c r="P19" s="3" t="n">
        <v>1.27</v>
      </c>
      <c r="Q19" s="6" t="n">
        <f aca="false">IF(I19="","",L19/I19-1)</f>
        <v>-0.12723400314844</v>
      </c>
      <c r="R19" s="3" t="str">
        <f aca="false">IF(I19="","not on drawing",IF(J19&gt;1,"drawing bars D/C&gt;1 – review",IF(O19&lt;&gt;"OK","engine "&amp;O19,IF(ABS(Q19)&gt;0.3,"ΔAs &gt; 30 %",""))))</f>
        <v/>
      </c>
    </row>
    <row r="20" customFormat="false" ht="15" hidden="false" customHeight="true" outlineLevel="0" collapsed="false">
      <c r="A20" s="3" t="s">
        <v>60</v>
      </c>
      <c r="B20" s="3" t="s">
        <v>61</v>
      </c>
      <c r="C20" s="3" t="s">
        <v>62</v>
      </c>
      <c r="D20" s="3" t="n">
        <v>560</v>
      </c>
      <c r="E20" s="3" t="n">
        <v>7.7</v>
      </c>
      <c r="F20" s="3" t="n">
        <v>0.9</v>
      </c>
      <c r="G20" s="3" t="s">
        <v>28</v>
      </c>
      <c r="H20" s="3" t="s">
        <v>63</v>
      </c>
      <c r="I20" s="3" t="n">
        <v>353.87</v>
      </c>
      <c r="J20" s="3" t="n">
        <v>0.49</v>
      </c>
      <c r="K20" s="3" t="s">
        <v>64</v>
      </c>
      <c r="L20" s="3" t="n">
        <v>157.08</v>
      </c>
      <c r="M20" s="3" t="n">
        <v>0.653</v>
      </c>
      <c r="N20" s="5" t="n">
        <v>0.0143</v>
      </c>
      <c r="O20" s="3" t="s">
        <v>26</v>
      </c>
      <c r="P20" s="3" t="n">
        <v>3</v>
      </c>
      <c r="Q20" s="6" t="n">
        <f aca="false">IF(I20="","",L20/I20-1)</f>
        <v>-0.55610817531862</v>
      </c>
      <c r="R20" s="3" t="str">
        <f aca="false">IF(I20="","not on drawing",IF(J20&gt;1,"drawing bars D/C&gt;1 – review",IF(O20&lt;&gt;"OK","engine "&amp;O20,IF(ABS(Q20)&gt;0.3,"ΔAs &gt; 30 %",""))))</f>
        <v>ΔAs &gt; 30 %</v>
      </c>
    </row>
    <row r="21" customFormat="false" ht="15" hidden="false" customHeight="true" outlineLevel="0" collapsed="false">
      <c r="A21" s="3" t="s">
        <v>65</v>
      </c>
      <c r="B21" s="3" t="s">
        <v>66</v>
      </c>
      <c r="C21" s="3" t="s">
        <v>67</v>
      </c>
      <c r="D21" s="3" t="n">
        <v>560</v>
      </c>
      <c r="E21" s="3" t="n">
        <v>8</v>
      </c>
      <c r="F21" s="3" t="n">
        <v>0.9</v>
      </c>
      <c r="G21" s="3" t="s">
        <v>68</v>
      </c>
      <c r="H21" s="3" t="s">
        <v>69</v>
      </c>
      <c r="I21" s="3" t="n">
        <v>98.52</v>
      </c>
      <c r="J21" s="3" t="n">
        <v>0.369</v>
      </c>
      <c r="K21" s="3" t="s">
        <v>70</v>
      </c>
      <c r="L21" s="3" t="n">
        <v>50.27</v>
      </c>
      <c r="M21" s="3" t="n">
        <v>0.553</v>
      </c>
      <c r="N21" s="5" t="n">
        <v>0.0112</v>
      </c>
      <c r="O21" s="3" t="s">
        <v>26</v>
      </c>
      <c r="P21" s="3" t="n">
        <v>1.62</v>
      </c>
      <c r="Q21" s="6" t="n">
        <f aca="false">IF(I21="","",L21/I21-1)</f>
        <v>-0.489748274462038</v>
      </c>
      <c r="R21" s="3" t="str">
        <f aca="false">IF(I21="","not on drawing",IF(J21&gt;1,"drawing bars D/C&gt;1 – review",IF(O21&lt;&gt;"OK","engine "&amp;O21,IF(ABS(Q21)&gt;0.3,"ΔAs &gt; 30 %",""))))</f>
        <v>ΔAs &gt; 30 %</v>
      </c>
    </row>
    <row r="22" customFormat="false" ht="15" hidden="false" customHeight="true" outlineLevel="0" collapsed="false">
      <c r="A22" s="3" t="s">
        <v>71</v>
      </c>
      <c r="B22" s="3" t="s">
        <v>72</v>
      </c>
      <c r="C22" s="3" t="s">
        <v>67</v>
      </c>
      <c r="D22" s="3" t="n">
        <v>560</v>
      </c>
      <c r="E22" s="3" t="n">
        <v>4.9</v>
      </c>
      <c r="F22" s="3" t="n">
        <v>0.9</v>
      </c>
      <c r="G22" s="3" t="s">
        <v>68</v>
      </c>
      <c r="H22" s="3" t="s">
        <v>69</v>
      </c>
      <c r="I22" s="3" t="n">
        <v>98.52</v>
      </c>
      <c r="J22" s="3" t="n">
        <v>0.673</v>
      </c>
      <c r="K22" s="3" t="s">
        <v>70</v>
      </c>
      <c r="L22" s="3" t="n">
        <v>50.27</v>
      </c>
      <c r="M22" s="3" t="n">
        <v>0.987</v>
      </c>
      <c r="N22" s="5" t="n">
        <v>0.0112</v>
      </c>
      <c r="O22" s="3" t="s">
        <v>26</v>
      </c>
      <c r="P22" s="3" t="n">
        <v>2.34</v>
      </c>
      <c r="Q22" s="6" t="n">
        <f aca="false">IF(I22="","",L22/I22-1)</f>
        <v>-0.489748274462038</v>
      </c>
      <c r="R22" s="3" t="str">
        <f aca="false">IF(I22="","not on drawing",IF(J22&gt;1,"drawing bars D/C&gt;1 – review",IF(O22&lt;&gt;"OK","engine "&amp;O22,IF(ABS(Q22)&gt;0.3,"ΔAs &gt; 30 %",""))))</f>
        <v>ΔAs &gt; 30 %</v>
      </c>
    </row>
    <row r="23" customFormat="false" ht="15" hidden="false" customHeight="true" outlineLevel="0" collapsed="false">
      <c r="A23" s="3" t="s">
        <v>73</v>
      </c>
      <c r="B23" s="3" t="s">
        <v>38</v>
      </c>
      <c r="C23" s="3" t="s">
        <v>74</v>
      </c>
      <c r="D23" s="3" t="n">
        <v>400</v>
      </c>
      <c r="E23" s="3" t="n">
        <v>3.1</v>
      </c>
      <c r="F23" s="3" t="n">
        <v>0.9</v>
      </c>
      <c r="G23" s="3" t="s">
        <v>75</v>
      </c>
      <c r="H23" s="3" t="s">
        <v>76</v>
      </c>
      <c r="I23" s="3" t="n">
        <v>369.45</v>
      </c>
      <c r="J23" s="3" t="n">
        <v>1.018</v>
      </c>
      <c r="K23" s="3" t="s">
        <v>77</v>
      </c>
      <c r="L23" s="3" t="n">
        <v>402.12</v>
      </c>
      <c r="M23" s="3" t="n">
        <v>0.976</v>
      </c>
      <c r="N23" s="5" t="n">
        <v>0.0574</v>
      </c>
      <c r="O23" s="3" t="s">
        <v>26</v>
      </c>
      <c r="P23" s="3" t="n">
        <v>1.53</v>
      </c>
      <c r="Q23" s="6" t="n">
        <f aca="false">IF(I23="","",L23/I23-1)</f>
        <v>0.0884287454323995</v>
      </c>
      <c r="R23" s="3" t="str">
        <f aca="false">IF(I23="","not on drawing",IF(J23&gt;1,"drawing bars D/C&gt;1 – review",IF(O23&lt;&gt;"OK","engine "&amp;O23,IF(ABS(Q23)&gt;0.3,"ΔAs &gt; 30 %",""))))</f>
        <v>drawing bars D/C&gt;1 – review</v>
      </c>
    </row>
    <row r="24" customFormat="false" ht="15" hidden="false" customHeight="true" outlineLevel="0" collapsed="false">
      <c r="A24" s="3" t="s">
        <v>73</v>
      </c>
      <c r="B24" s="3" t="s">
        <v>78</v>
      </c>
      <c r="C24" s="3" t="s">
        <v>74</v>
      </c>
      <c r="D24" s="3" t="n">
        <v>400</v>
      </c>
      <c r="E24" s="3" t="n">
        <v>3.1</v>
      </c>
      <c r="F24" s="3" t="n">
        <v>0.9</v>
      </c>
      <c r="G24" s="3" t="s">
        <v>35</v>
      </c>
      <c r="H24" s="3" t="s">
        <v>79</v>
      </c>
      <c r="I24" s="3" t="n">
        <v>123.15</v>
      </c>
      <c r="J24" s="3" t="n">
        <v>0.839</v>
      </c>
      <c r="K24" s="3" t="s">
        <v>45</v>
      </c>
      <c r="L24" s="3" t="n">
        <v>94.25</v>
      </c>
      <c r="M24" s="3" t="n">
        <v>0.881</v>
      </c>
      <c r="N24" s="5" t="n">
        <v>0.0135</v>
      </c>
      <c r="O24" s="3" t="s">
        <v>26</v>
      </c>
      <c r="P24" s="3" t="n">
        <v>1.64</v>
      </c>
      <c r="Q24" s="6" t="n">
        <f aca="false">IF(I24="","",L24/I24-1)</f>
        <v>-0.234673162809582</v>
      </c>
      <c r="R24" s="3" t="str">
        <f aca="false">IF(I24="","not on drawing",IF(J24&gt;1,"drawing bars D/C&gt;1 – review",IF(O24&lt;&gt;"OK","engine "&amp;O24,IF(ABS(Q24)&gt;0.3,"ΔAs &gt; 30 %",""))))</f>
        <v/>
      </c>
    </row>
    <row r="25" customFormat="false" ht="15" hidden="false" customHeight="true" outlineLevel="0" collapsed="false">
      <c r="A25" s="3" t="s">
        <v>73</v>
      </c>
      <c r="B25" s="3" t="s">
        <v>80</v>
      </c>
      <c r="C25" s="3" t="s">
        <v>74</v>
      </c>
      <c r="D25" s="3" t="n">
        <v>400</v>
      </c>
      <c r="E25" s="3" t="n">
        <v>4.5</v>
      </c>
      <c r="F25" s="3" t="n">
        <v>0.9</v>
      </c>
      <c r="G25" s="3" t="s">
        <v>35</v>
      </c>
      <c r="H25" s="3" t="s">
        <v>81</v>
      </c>
      <c r="I25" s="3"/>
      <c r="J25" s="3"/>
      <c r="K25" s="3" t="s">
        <v>45</v>
      </c>
      <c r="L25" s="3" t="n">
        <v>94.25</v>
      </c>
      <c r="M25" s="3" t="n">
        <v>0.852</v>
      </c>
      <c r="N25" s="5" t="n">
        <v>0.0135</v>
      </c>
      <c r="O25" s="3" t="s">
        <v>26</v>
      </c>
      <c r="P25" s="3" t="n">
        <v>1.91</v>
      </c>
      <c r="Q25" s="6" t="str">
        <f aca="false">IF(I25="","",L25/I25-1)</f>
        <v/>
      </c>
      <c r="R25" s="3" t="str">
        <f aca="false">IF(I25="","not on drawing",IF(J25&gt;1,"drawing bars D/C&gt;1 – review",IF(O25&lt;&gt;"OK","engine "&amp;O25,IF(ABS(Q25)&gt;0.3,"ΔAs &gt; 30 %",""))))</f>
        <v>not on drawing</v>
      </c>
    </row>
    <row r="26" customFormat="false" ht="15" hidden="false" customHeight="true" outlineLevel="0" collapsed="false">
      <c r="A26" s="3" t="s">
        <v>82</v>
      </c>
      <c r="B26" s="3" t="s">
        <v>83</v>
      </c>
      <c r="C26" s="3" t="s">
        <v>84</v>
      </c>
      <c r="D26" s="3" t="n">
        <v>560</v>
      </c>
      <c r="E26" s="3" t="n">
        <v>3</v>
      </c>
      <c r="F26" s="3" t="n">
        <v>0.9</v>
      </c>
      <c r="G26" s="3" t="s">
        <v>85</v>
      </c>
      <c r="H26" s="3" t="s">
        <v>86</v>
      </c>
      <c r="I26" s="3" t="n">
        <v>49.26</v>
      </c>
      <c r="J26" s="3" t="n">
        <v>0.903</v>
      </c>
      <c r="K26" s="3" t="s">
        <v>87</v>
      </c>
      <c r="L26" s="3" t="n">
        <v>25.13</v>
      </c>
      <c r="M26" s="3" t="n">
        <v>0.994</v>
      </c>
      <c r="N26" s="5" t="n">
        <v>0.0124</v>
      </c>
      <c r="O26" s="3" t="s">
        <v>26</v>
      </c>
      <c r="P26" s="3" t="n">
        <v>1</v>
      </c>
      <c r="Q26" s="6" t="n">
        <f aca="false">IF(I26="","",L26/I26-1)</f>
        <v>-0.489849776695087</v>
      </c>
      <c r="R26" s="3" t="str">
        <f aca="false">IF(I26="","not on drawing",IF(J26&gt;1,"drawing bars D/C&gt;1 – review",IF(O26&lt;&gt;"OK","engine "&amp;O26,IF(ABS(Q26)&gt;0.3,"ΔAs &gt; 30 %",""))))</f>
        <v>ΔAs &gt; 30 %</v>
      </c>
    </row>
    <row r="27" customFormat="false" ht="15" hidden="false" customHeight="true" outlineLevel="0" collapsed="false">
      <c r="A27" s="3" t="s">
        <v>88</v>
      </c>
      <c r="B27" s="3" t="s">
        <v>89</v>
      </c>
      <c r="C27" s="3" t="s">
        <v>90</v>
      </c>
      <c r="D27" s="3" t="n">
        <v>400</v>
      </c>
      <c r="E27" s="3" t="n">
        <v>4.5</v>
      </c>
      <c r="F27" s="3" t="n">
        <v>0.9</v>
      </c>
      <c r="G27" s="3" t="s">
        <v>55</v>
      </c>
      <c r="H27" s="3" t="s">
        <v>44</v>
      </c>
      <c r="I27" s="3" t="n">
        <v>107.99</v>
      </c>
      <c r="J27" s="3" t="n">
        <v>0.583</v>
      </c>
      <c r="K27" s="3" t="s">
        <v>91</v>
      </c>
      <c r="L27" s="3" t="n">
        <v>87.96</v>
      </c>
      <c r="M27" s="3" t="n">
        <v>0.616</v>
      </c>
      <c r="N27" s="5" t="n">
        <v>0.0109</v>
      </c>
      <c r="O27" s="3" t="s">
        <v>26</v>
      </c>
      <c r="P27" s="3" t="n">
        <v>1.24</v>
      </c>
      <c r="Q27" s="6" t="n">
        <f aca="false">IF(I27="","",L27/I27-1)</f>
        <v>-0.185480137049727</v>
      </c>
      <c r="R27" s="3" t="str">
        <f aca="false">IF(I27="","not on drawing",IF(J27&gt;1,"drawing bars D/C&gt;1 – review",IF(O27&lt;&gt;"OK","engine "&amp;O27,IF(ABS(Q27)&gt;0.3,"ΔAs &gt; 30 %",""))))</f>
        <v/>
      </c>
    </row>
    <row r="28" customFormat="false" ht="15" hidden="false" customHeight="true" outlineLevel="0" collapsed="false">
      <c r="A28" s="3" t="s">
        <v>92</v>
      </c>
      <c r="B28" s="3" t="s">
        <v>93</v>
      </c>
      <c r="C28" s="3" t="s">
        <v>84</v>
      </c>
      <c r="D28" s="3" t="n">
        <v>400</v>
      </c>
      <c r="E28" s="3" t="n">
        <v>4.5</v>
      </c>
      <c r="F28" s="3" t="n">
        <v>0.9</v>
      </c>
      <c r="G28" s="3" t="s">
        <v>68</v>
      </c>
      <c r="H28" s="3" t="s">
        <v>69</v>
      </c>
      <c r="I28" s="3" t="n">
        <v>98.52</v>
      </c>
      <c r="J28" s="3" t="n">
        <v>1.055</v>
      </c>
      <c r="K28" s="3" t="s">
        <v>94</v>
      </c>
      <c r="L28" s="3" t="n">
        <v>128.68</v>
      </c>
      <c r="M28" s="3" t="n">
        <v>0.915</v>
      </c>
      <c r="N28" s="5" t="n">
        <v>0.0635</v>
      </c>
      <c r="O28" s="3" t="s">
        <v>95</v>
      </c>
      <c r="P28" s="3" t="n">
        <v>1.08</v>
      </c>
      <c r="Q28" s="6" t="n">
        <f aca="false">IF(I28="","",L28/I28-1)</f>
        <v>0.306130734876168</v>
      </c>
      <c r="R28" s="3" t="str">
        <f aca="false">IF(I28="","not on drawing",IF(J28&gt;1,"drawing bars D/C&gt;1 – review",IF(O28&lt;&gt;"OK","engine "&amp;O28,IF(ABS(Q28)&gt;0.3,"ΔAs &gt; 30 %",""))))</f>
        <v>drawing bars D/C&gt;1 – review</v>
      </c>
    </row>
    <row r="29" customFormat="false" ht="15" hidden="false" customHeight="true" outlineLevel="0" collapsed="false">
      <c r="A29" s="3" t="s">
        <v>96</v>
      </c>
      <c r="B29" s="3" t="s">
        <v>38</v>
      </c>
      <c r="C29" s="3" t="s">
        <v>97</v>
      </c>
      <c r="D29" s="3" t="n">
        <v>400</v>
      </c>
      <c r="E29" s="3" t="n">
        <v>3.5</v>
      </c>
      <c r="F29" s="3" t="n">
        <v>0.9</v>
      </c>
      <c r="G29" s="3" t="s">
        <v>98</v>
      </c>
      <c r="H29" s="3" t="s">
        <v>79</v>
      </c>
      <c r="I29" s="3" t="n">
        <v>123.15</v>
      </c>
      <c r="J29" s="3" t="n">
        <v>0.813</v>
      </c>
      <c r="K29" s="3" t="s">
        <v>99</v>
      </c>
      <c r="L29" s="3" t="n">
        <v>86.21</v>
      </c>
      <c r="M29" s="3" t="n">
        <v>0.977</v>
      </c>
      <c r="N29" s="5" t="n">
        <v>0.0359</v>
      </c>
      <c r="O29" s="3" t="s">
        <v>26</v>
      </c>
      <c r="P29" s="3" t="n">
        <v>2.28</v>
      </c>
      <c r="Q29" s="6" t="n">
        <f aca="false">IF(I29="","",L29/I29-1)</f>
        <v>-0.29995939910678</v>
      </c>
      <c r="R29" s="3" t="str">
        <f aca="false">IF(I29="","not on drawing",IF(J29&gt;1,"drawing bars D/C&gt;1 – review",IF(O29&lt;&gt;"OK","engine "&amp;O29,IF(ABS(Q29)&gt;0.3,"ΔAs &gt; 30 %",""))))</f>
        <v/>
      </c>
    </row>
    <row r="30" customFormat="false" ht="15" hidden="false" customHeight="true" outlineLevel="0" collapsed="false">
      <c r="A30" s="3" t="s">
        <v>96</v>
      </c>
      <c r="B30" s="3" t="s">
        <v>100</v>
      </c>
      <c r="C30" s="3" t="s">
        <v>97</v>
      </c>
      <c r="D30" s="3" t="n">
        <v>400</v>
      </c>
      <c r="E30" s="3" t="n">
        <v>3.5</v>
      </c>
      <c r="F30" s="3" t="n">
        <v>0.9</v>
      </c>
      <c r="G30" s="3" t="s">
        <v>101</v>
      </c>
      <c r="H30" s="3" t="s">
        <v>102</v>
      </c>
      <c r="I30" s="3" t="n">
        <v>73.89</v>
      </c>
      <c r="J30" s="3" t="n">
        <v>0.498</v>
      </c>
      <c r="K30" s="3" t="s">
        <v>103</v>
      </c>
      <c r="L30" s="3" t="n">
        <v>43.98</v>
      </c>
      <c r="M30" s="3" t="n">
        <v>0.633</v>
      </c>
      <c r="N30" s="5" t="n">
        <v>0.0183</v>
      </c>
      <c r="O30" s="3" t="s">
        <v>26</v>
      </c>
      <c r="P30" s="3" t="n">
        <v>1.68</v>
      </c>
      <c r="Q30" s="6" t="n">
        <f aca="false">IF(I30="","",L30/I30-1)</f>
        <v>-0.404790905399919</v>
      </c>
      <c r="R30" s="3" t="str">
        <f aca="false">IF(I30="","not on drawing",IF(J30&gt;1,"drawing bars D/C&gt;1 – review",IF(O30&lt;&gt;"OK","engine "&amp;O30,IF(ABS(Q30)&gt;0.3,"ΔAs &gt; 30 %",""))))</f>
        <v>ΔAs &gt; 30 %</v>
      </c>
    </row>
    <row r="31" customFormat="false" ht="15" hidden="false" customHeight="true" outlineLevel="0" collapsed="false">
      <c r="A31" s="3" t="s">
        <v>104</v>
      </c>
      <c r="B31" s="3" t="s">
        <v>105</v>
      </c>
      <c r="C31" s="3" t="s">
        <v>97</v>
      </c>
      <c r="D31" s="3" t="n">
        <v>400</v>
      </c>
      <c r="E31" s="3" t="n">
        <v>4.5</v>
      </c>
      <c r="F31" s="3" t="n">
        <v>0.9</v>
      </c>
      <c r="G31" s="3" t="s">
        <v>101</v>
      </c>
      <c r="H31" s="3" t="s">
        <v>102</v>
      </c>
      <c r="I31" s="3" t="n">
        <v>73.89</v>
      </c>
      <c r="J31" s="3" t="n">
        <v>0.454</v>
      </c>
      <c r="K31" s="3" t="s">
        <v>103</v>
      </c>
      <c r="L31" s="3" t="n">
        <v>43.98</v>
      </c>
      <c r="M31" s="3" t="n">
        <v>0.559</v>
      </c>
      <c r="N31" s="5" t="n">
        <v>0.0183</v>
      </c>
      <c r="O31" s="3" t="s">
        <v>26</v>
      </c>
      <c r="P31" s="3" t="n">
        <v>1.27</v>
      </c>
      <c r="Q31" s="6" t="n">
        <f aca="false">IF(I31="","",L31/I31-1)</f>
        <v>-0.404790905399919</v>
      </c>
      <c r="R31" s="3" t="str">
        <f aca="false">IF(I31="","not on drawing",IF(J31&gt;1,"drawing bars D/C&gt;1 – review",IF(O31&lt;&gt;"OK","engine "&amp;O31,IF(ABS(Q31)&gt;0.3,"ΔAs &gt; 30 %",""))))</f>
        <v>ΔAs &gt; 30 %</v>
      </c>
    </row>
    <row r="33" customFormat="false" ht="15" hidden="false" customHeight="true" outlineLevel="0" collapsed="false">
      <c r="A33" s="7" t="s">
        <v>106</v>
      </c>
    </row>
    <row r="34" customFormat="false" ht="15" hidden="false" customHeight="true" outlineLevel="0" collapsed="false">
      <c r="A34" s="3" t="s">
        <v>107</v>
      </c>
      <c r="B34" s="3" t="n">
        <f aca="false">COUNT(I4:I31)</f>
        <v>27</v>
      </c>
    </row>
    <row r="35" customFormat="false" ht="15" hidden="false" customHeight="true" outlineLevel="0" collapsed="false">
      <c r="A35" s="3" t="s">
        <v>108</v>
      </c>
      <c r="B35" s="3" t="n">
        <f aca="false">COUNTIF(J4:J31,"&gt;1")</f>
        <v>3</v>
      </c>
    </row>
    <row r="36" customFormat="false" ht="15" hidden="false" customHeight="true" outlineLevel="0" collapsed="false">
      <c r="A36" s="3" t="s">
        <v>109</v>
      </c>
      <c r="B36" s="3" t="n">
        <f aca="false">COUNTIF(O4:O31,"&lt;&gt;OK")</f>
        <v>1</v>
      </c>
    </row>
    <row r="37" customFormat="false" ht="15" hidden="false" customHeight="true" outlineLevel="0" collapsed="false">
      <c r="A37" s="3" t="s">
        <v>110</v>
      </c>
      <c r="B37" s="3" t="n">
        <f aca="false">SUMIF(I4:I31,"&gt;0",I4:I31)</f>
        <v>5323.98</v>
      </c>
    </row>
    <row r="38" customFormat="false" ht="15" hidden="false" customHeight="true" outlineLevel="0" collapsed="false">
      <c r="A38" s="3" t="s">
        <v>111</v>
      </c>
      <c r="B38" s="3" t="n">
        <f aca="false">SUMIF(I4:I31,"&gt;0",L4:L31)</f>
        <v>4097.77</v>
      </c>
    </row>
    <row r="39" customFormat="false" ht="15" hidden="false" customHeight="true" outlineLevel="0" collapsed="false">
      <c r="A39" s="3" t="s">
        <v>112</v>
      </c>
      <c r="B39" s="8" t="n">
        <f aca="false">B38/B37-1</f>
        <v>-0.230318295711103</v>
      </c>
    </row>
  </sheetData>
  <conditionalFormatting sqref="J4:J31">
    <cfRule type="expression" priority="2" aboveAverage="0" equalAverage="0" bottom="0" percent="0" rank="0" text="" dxfId="0">
      <formula>J4&gt;1</formula>
    </cfRule>
  </conditionalFormatting>
  <conditionalFormatting sqref="M4:M31">
    <cfRule type="expression" priority="3" aboveAverage="0" equalAverage="0" bottom="0" percent="0" rank="0" text="" dxfId="0">
      <formula>M4&gt;1</formula>
    </cfRule>
  </conditionalFormatting>
  <conditionalFormatting sqref="R4:R31">
    <cfRule type="expression" priority="4" aboveAverage="0" equalAverage="0" bottom="0" percent="0" rank="0" text="" dxfId="1">
      <formula>LEN(R4)&gt;0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7" t="s">
        <v>113</v>
      </c>
    </row>
    <row r="2" customFormat="false" ht="15" hidden="false" customHeight="true" outlineLevel="0" collapsed="false">
      <c r="A2" s="3" t="s">
        <v>114</v>
      </c>
    </row>
    <row r="3" customFormat="false" ht="15" hidden="false" customHeight="true" outlineLevel="0" collapsed="false">
      <c r="A3" s="3" t="s">
        <v>115</v>
      </c>
    </row>
    <row r="4" customFormat="false" ht="15" hidden="false" customHeight="true" outlineLevel="0" collapsed="false">
      <c r="A4" s="3" t="s">
        <v>116</v>
      </c>
    </row>
    <row r="5" customFormat="false" ht="15" hidden="false" customHeight="true" outlineLevel="0" collapsed="false">
      <c r="A5" s="3" t="s">
        <v>117</v>
      </c>
    </row>
    <row r="6" customFormat="false" ht="15" hidden="false" customHeight="true" outlineLevel="0" collapsed="false">
      <c r="A6" s="7" t="s">
        <v>118</v>
      </c>
    </row>
    <row r="7" customFormat="false" ht="15" hidden="false" customHeight="true" outlineLevel="0" collapsed="false">
      <c r="A7" s="3" t="s">
        <v>119</v>
      </c>
    </row>
    <row r="8" customFormat="false" ht="15" hidden="false" customHeight="true" outlineLevel="0" collapsed="false">
      <c r="A8" s="3" t="s">
        <v>120</v>
      </c>
    </row>
    <row r="9" customFormat="false" ht="15" hidden="false" customHeight="true" outlineLevel="0" collapsed="false">
      <c r="A9" s="3" t="s">
        <v>121</v>
      </c>
    </row>
    <row r="10" customFormat="false" ht="15" hidden="false" customHeight="true" outlineLevel="0" collapsed="false">
      <c r="A10" s="3" t="s">
        <v>122</v>
      </c>
    </row>
    <row r="11" customFormat="false" ht="15" hidden="false" customHeight="true" outlineLevel="0" collapsed="false">
      <c r="A11" s="3" t="s">
        <v>123</v>
      </c>
    </row>
    <row r="12" customFormat="false" ht="15" hidden="false" customHeight="false" outlineLevel="0" collapsed="false">
      <c r="A12" s="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2026-10-19T13:30:03Z</dcterms:created>
  <dc:creator>openpyxl</dc:creator>
  <dc:description/>
  <dc:language>en-US</dc:language>
  <cp:lastModifiedBy/>
  <dcterms:modified xsi:type="dcterms:W3CDTF">2026-10-19T13:56:41Z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